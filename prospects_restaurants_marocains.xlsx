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86C1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AE5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32" customWidth="1" min="4" max="4"/>
    <col width="26" customWidth="1" min="5" max="5"/>
    <col width="8" customWidth="1" min="6" max="6"/>
    <col width="12" customWidth="1" min="7" max="7"/>
    <col width="10" customWidth="1" min="8" max="8"/>
    <col width="35" customWidth="1" min="9" max="9"/>
    <col width="14" customWidth="1" min="10" max="10"/>
  </cols>
  <sheetData>
    <row r="1" ht="30" customHeight="1">
      <c r="A1" s="1" t="inlineStr">
        <is>
          <t>🍽️  Restaurants Marocains — Prospects sans Site Web</t>
        </is>
      </c>
    </row>
    <row r="2" ht="18" customHeight="1">
      <c r="A2" s="2" t="inlineStr">
        <is>
          <t>Paris · Lyon · Reims  |  Sélection : bien notés, nombreux avis, aucun site web répertorié  |  Source : PagesJaunes + TheFork + Google Maps  |  Juin 2026</t>
        </is>
      </c>
    </row>
    <row r="3" ht="8" customHeight="1"/>
    <row r="4" ht="30" customHeight="1">
      <c r="A4" s="3" t="inlineStr">
        <is>
          <t>#</t>
        </is>
      </c>
      <c r="B4" s="3" t="inlineStr">
        <is>
          <t>Ville</t>
        </is>
      </c>
      <c r="C4" s="3" t="inlineStr">
        <is>
          <t>Nom du Restaurant</t>
        </is>
      </c>
      <c r="D4" s="3" t="inlineStr">
        <is>
          <t>Adresse</t>
        </is>
      </c>
      <c r="E4" s="3" t="inlineStr">
        <is>
          <t>Arrondissement / Quartier</t>
        </is>
      </c>
      <c r="F4" s="3" t="inlineStr">
        <is>
          <t>Note</t>
        </is>
      </c>
      <c r="G4" s="3" t="inlineStr">
        <is>
          <t>Plateforme</t>
        </is>
      </c>
      <c r="H4" s="3" t="inlineStr">
        <is>
          <t>Nb d'avis</t>
        </is>
      </c>
      <c r="I4" s="3" t="inlineStr">
        <is>
          <t>Spécialités</t>
        </is>
      </c>
      <c r="J4" s="3" t="inlineStr">
        <is>
          <t>Priorité Prospect</t>
        </is>
      </c>
    </row>
    <row r="5" ht="22" customHeight="1">
      <c r="A5" s="4" t="inlineStr">
        <is>
          <t xml:space="preserve">  ▶  PARIS</t>
        </is>
      </c>
    </row>
    <row r="6" ht="28" customHeight="1">
      <c r="A6" s="5" t="n">
        <v>1</v>
      </c>
      <c r="B6" s="6" t="inlineStr">
        <is>
          <t>Paris</t>
        </is>
      </c>
      <c r="C6" s="7" t="inlineStr">
        <is>
          <t>Les Saveurs de l'Orient</t>
        </is>
      </c>
      <c r="D6" s="7" t="inlineStr">
        <is>
          <t>43 passage Panoramas</t>
        </is>
      </c>
      <c r="E6" s="7" t="inlineStr">
        <is>
          <t>75002 – Bonne-Nouvelle</t>
        </is>
      </c>
      <c r="F6" s="5" t="inlineStr">
        <is>
          <t>4.5/5</t>
        </is>
      </c>
      <c r="G6" s="5" t="inlineStr">
        <is>
          <t>TheFork</t>
        </is>
      </c>
      <c r="H6" s="5" t="n">
        <v>3366</v>
      </c>
      <c r="I6" s="7" t="inlineStr">
        <is>
          <t>Couscous, Tajine, Pastilla</t>
        </is>
      </c>
      <c r="J6" s="7" t="inlineStr">
        <is>
          <t>🔴 Haute</t>
        </is>
      </c>
    </row>
    <row r="7" ht="28" customHeight="1">
      <c r="A7" s="5" t="n">
        <v>2</v>
      </c>
      <c r="B7" s="6" t="inlineStr">
        <is>
          <t>Paris</t>
        </is>
      </c>
      <c r="C7" s="7" t="inlineStr">
        <is>
          <t>L'Homme Bleu</t>
        </is>
      </c>
      <c r="D7" s="7" t="inlineStr">
        <is>
          <t>55bis rue Jean Pierre Timbaud</t>
        </is>
      </c>
      <c r="E7" s="7" t="inlineStr">
        <is>
          <t>75011 – Popincourt</t>
        </is>
      </c>
      <c r="F7" s="5" t="inlineStr">
        <is>
          <t>4.9/5</t>
        </is>
      </c>
      <c r="G7" s="5" t="inlineStr">
        <is>
          <t>TheFork</t>
        </is>
      </c>
      <c r="H7" s="5" t="n">
        <v>1762</v>
      </c>
      <c r="I7" s="7" t="inlineStr">
        <is>
          <t>Couscous Royal, Tajine, Brick</t>
        </is>
      </c>
      <c r="J7" s="7" t="inlineStr">
        <is>
          <t>🔴 Haute</t>
        </is>
      </c>
    </row>
    <row r="8" ht="28" customHeight="1">
      <c r="A8" s="5" t="n">
        <v>3</v>
      </c>
      <c r="B8" s="6" t="inlineStr">
        <is>
          <t>Paris</t>
        </is>
      </c>
      <c r="C8" s="7" t="inlineStr">
        <is>
          <t>Figuig</t>
        </is>
      </c>
      <c r="D8" s="7" t="inlineStr">
        <is>
          <t>13 rue Brey</t>
        </is>
      </c>
      <c r="E8" s="7" t="inlineStr">
        <is>
          <t>75017 – Batignolles</t>
        </is>
      </c>
      <c r="F8" s="5" t="inlineStr">
        <is>
          <t>4.7/5</t>
        </is>
      </c>
      <c r="G8" s="5" t="inlineStr">
        <is>
          <t>TheFork</t>
        </is>
      </c>
      <c r="H8" s="5" t="n">
        <v>1544</v>
      </c>
      <c r="I8" s="7" t="inlineStr">
        <is>
          <t>Couscous, Tajine, Méchoui</t>
        </is>
      </c>
      <c r="J8" s="7" t="inlineStr">
        <is>
          <t>🔴 Haute</t>
        </is>
      </c>
    </row>
    <row r="9" ht="28" customHeight="1">
      <c r="A9" s="5" t="n">
        <v>4</v>
      </c>
      <c r="B9" s="6" t="inlineStr">
        <is>
          <t>Paris</t>
        </is>
      </c>
      <c r="C9" s="7" t="inlineStr">
        <is>
          <t>Le Paradis du Couscous</t>
        </is>
      </c>
      <c r="D9" s="7" t="inlineStr">
        <is>
          <t>22 rue Wilhem</t>
        </is>
      </c>
      <c r="E9" s="7" t="inlineStr">
        <is>
          <t>75016 – Auteuil</t>
        </is>
      </c>
      <c r="F9" s="5" t="inlineStr">
        <is>
          <t>4.7/5</t>
        </is>
      </c>
      <c r="G9" s="5" t="inlineStr">
        <is>
          <t>TheFork</t>
        </is>
      </c>
      <c r="H9" s="5" t="n">
        <v>1338</v>
      </c>
      <c r="I9" s="7" t="inlineStr">
        <is>
          <t>Couscous, Tajine</t>
        </is>
      </c>
      <c r="J9" s="7" t="inlineStr">
        <is>
          <t>🔴 Haute</t>
        </is>
      </c>
    </row>
    <row r="10" ht="28" customHeight="1">
      <c r="A10" s="5" t="n">
        <v>5</v>
      </c>
      <c r="B10" s="6" t="inlineStr">
        <is>
          <t>Paris</t>
        </is>
      </c>
      <c r="C10" s="7" t="inlineStr">
        <is>
          <t>Restaurant Le Riad</t>
        </is>
      </c>
      <c r="D10" s="7" t="inlineStr">
        <is>
          <t>2 rue Gervex</t>
        </is>
      </c>
      <c r="E10" s="7" t="inlineStr">
        <is>
          <t>75017 – Batignolles</t>
        </is>
      </c>
      <c r="F10" s="5" t="inlineStr">
        <is>
          <t>4.3/5</t>
        </is>
      </c>
      <c r="G10" s="5" t="inlineStr">
        <is>
          <t>TheFork</t>
        </is>
      </c>
      <c r="H10" s="5" t="n">
        <v>1175</v>
      </c>
      <c r="I10" s="7" t="inlineStr">
        <is>
          <t>Couscous, Tajine, Grillades</t>
        </is>
      </c>
      <c r="J10" s="7" t="inlineStr">
        <is>
          <t>🟠 Moyenne</t>
        </is>
      </c>
    </row>
    <row r="11" ht="28" customHeight="1">
      <c r="A11" s="5" t="n">
        <v>6</v>
      </c>
      <c r="B11" s="6" t="inlineStr">
        <is>
          <t>Paris</t>
        </is>
      </c>
      <c r="C11" s="7" t="inlineStr">
        <is>
          <t>Le Sirocco</t>
        </is>
      </c>
      <c r="D11" s="7" t="inlineStr">
        <is>
          <t>8bis rue Gobelins</t>
        </is>
      </c>
      <c r="E11" s="7" t="inlineStr">
        <is>
          <t>75013 – Gobelins</t>
        </is>
      </c>
      <c r="F11" s="5" t="inlineStr">
        <is>
          <t>4.3/5</t>
        </is>
      </c>
      <c r="G11" s="5" t="inlineStr">
        <is>
          <t>Google</t>
        </is>
      </c>
      <c r="H11" s="5" t="n">
        <v>1053</v>
      </c>
      <c r="I11" s="7" t="inlineStr">
        <is>
          <t>Couscous, Tajine, Pastilla, Méchoui</t>
        </is>
      </c>
      <c r="J11" s="7" t="inlineStr">
        <is>
          <t>🟠 Moyenne</t>
        </is>
      </c>
    </row>
    <row r="12" ht="28" customHeight="1">
      <c r="A12" s="5" t="n">
        <v>7</v>
      </c>
      <c r="B12" s="6" t="inlineStr">
        <is>
          <t>Paris</t>
        </is>
      </c>
      <c r="C12" s="7" t="inlineStr">
        <is>
          <t>Le Cirque</t>
        </is>
      </c>
      <c r="D12" s="7" t="inlineStr">
        <is>
          <t>141 rue Saint-Martin</t>
        </is>
      </c>
      <c r="E12" s="7" t="inlineStr">
        <is>
          <t>75004 – Le Marais</t>
        </is>
      </c>
      <c r="F12" s="5" t="inlineStr">
        <is>
          <t>4.3/5</t>
        </is>
      </c>
      <c r="G12" s="5" t="inlineStr">
        <is>
          <t>TheFork</t>
        </is>
      </c>
      <c r="H12" s="5" t="n">
        <v>741</v>
      </c>
      <c r="I12" s="7" t="inlineStr">
        <is>
          <t>Couscous, Tajine, Oriental</t>
        </is>
      </c>
      <c r="J12" s="7" t="inlineStr">
        <is>
          <t>🟠 Moyenne</t>
        </is>
      </c>
    </row>
    <row r="13" ht="28" customHeight="1">
      <c r="A13" s="5" t="n">
        <v>8</v>
      </c>
      <c r="B13" s="6" t="inlineStr">
        <is>
          <t>Paris</t>
        </is>
      </c>
      <c r="C13" s="7" t="inlineStr">
        <is>
          <t>Agadir Founti</t>
        </is>
      </c>
      <c r="D13" s="7" t="inlineStr">
        <is>
          <t>117 rue Monge</t>
        </is>
      </c>
      <c r="E13" s="7" t="inlineStr">
        <is>
          <t>75005 – Panthéon</t>
        </is>
      </c>
      <c r="F13" s="5" t="inlineStr">
        <is>
          <t>4.5/5</t>
        </is>
      </c>
      <c r="G13" s="5" t="inlineStr">
        <is>
          <t>TheFork</t>
        </is>
      </c>
      <c r="H13" s="5" t="n">
        <v>609</v>
      </c>
      <c r="I13" s="7" t="inlineStr">
        <is>
          <t>Couscous, Tajine, Halal</t>
        </is>
      </c>
      <c r="J13" s="7" t="inlineStr">
        <is>
          <t>🟠 Moyenne</t>
        </is>
      </c>
    </row>
    <row r="14" ht="28" customHeight="1">
      <c r="A14" s="5" t="n">
        <v>9</v>
      </c>
      <c r="B14" s="6" t="inlineStr">
        <is>
          <t>Paris</t>
        </is>
      </c>
      <c r="C14" s="7" t="inlineStr">
        <is>
          <t>Bourad M'Hand</t>
        </is>
      </c>
      <c r="D14" s="7" t="inlineStr">
        <is>
          <t>3 rue Bièvre</t>
        </is>
      </c>
      <c r="E14" s="7" t="inlineStr">
        <is>
          <t>75005 – Panthéon</t>
        </is>
      </c>
      <c r="F14" s="5" t="inlineStr">
        <is>
          <t>4.9/5</t>
        </is>
      </c>
      <c r="G14" s="5" t="inlineStr">
        <is>
          <t>TheFork</t>
        </is>
      </c>
      <c r="H14" s="5" t="n">
        <v>588</v>
      </c>
      <c r="I14" s="7" t="inlineStr">
        <is>
          <t>Couscous, Tajine, Oriental</t>
        </is>
      </c>
      <c r="J14" s="7" t="inlineStr">
        <is>
          <t>🟠 Moyenne</t>
        </is>
      </c>
    </row>
    <row r="15" ht="28" customHeight="1">
      <c r="A15" s="5" t="n">
        <v>10</v>
      </c>
      <c r="B15" s="6" t="inlineStr">
        <is>
          <t>Paris</t>
        </is>
      </c>
      <c r="C15" s="7" t="inlineStr">
        <is>
          <t>Aux Trois Marches</t>
        </is>
      </c>
      <c r="D15" s="7" t="inlineStr">
        <is>
          <t>11 rue Jouffroy d'Abbans</t>
        </is>
      </c>
      <c r="E15" s="7" t="inlineStr">
        <is>
          <t>75017 – Batignolles</t>
        </is>
      </c>
      <c r="F15" s="5" t="inlineStr">
        <is>
          <t>4.5/5</t>
        </is>
      </c>
      <c r="G15" s="5" t="inlineStr">
        <is>
          <t>TheFork</t>
        </is>
      </c>
      <c r="H15" s="5" t="n">
        <v>459</v>
      </c>
      <c r="I15" s="7" t="inlineStr">
        <is>
          <t>Couscous, Tajine, Halal</t>
        </is>
      </c>
      <c r="J15" s="7" t="inlineStr">
        <is>
          <t>🟡 Standard</t>
        </is>
      </c>
    </row>
    <row r="16" ht="22" customHeight="1">
      <c r="A16" s="4" t="inlineStr">
        <is>
          <t xml:space="preserve">  ▶  LYON</t>
        </is>
      </c>
    </row>
    <row r="17" ht="28" customHeight="1">
      <c r="A17" s="8" t="n">
        <v>11</v>
      </c>
      <c r="B17" s="9" t="inlineStr">
        <is>
          <t>Lyon</t>
        </is>
      </c>
      <c r="C17" s="10" t="inlineStr">
        <is>
          <t>Ksar</t>
        </is>
      </c>
      <c r="D17" s="10" t="inlineStr">
        <is>
          <t>4 rue Grobon</t>
        </is>
      </c>
      <c r="E17" s="10" t="inlineStr">
        <is>
          <t>69001 – Presqu'île</t>
        </is>
      </c>
      <c r="F17" s="8" t="inlineStr">
        <is>
          <t>4.5/5</t>
        </is>
      </c>
      <c r="G17" s="8" t="inlineStr">
        <is>
          <t>TheFork</t>
        </is>
      </c>
      <c r="H17" s="8" t="n">
        <v>2089</v>
      </c>
      <c r="I17" s="10" t="inlineStr">
        <is>
          <t>Couscous Royal, Tajine, Pastilla</t>
        </is>
      </c>
      <c r="J17" s="10" t="inlineStr">
        <is>
          <t>🔴 Haute</t>
        </is>
      </c>
    </row>
    <row r="18" ht="28" customHeight="1">
      <c r="A18" s="8" t="n">
        <v>12</v>
      </c>
      <c r="B18" s="9" t="inlineStr">
        <is>
          <t>Lyon</t>
        </is>
      </c>
      <c r="C18" s="10" t="inlineStr">
        <is>
          <t>Le Touareg</t>
        </is>
      </c>
      <c r="D18" s="10" t="inlineStr">
        <is>
          <t>38 rue du Bœuf</t>
        </is>
      </c>
      <c r="E18" s="10" t="inlineStr">
        <is>
          <t>69005 – Vieux-Lyon</t>
        </is>
      </c>
      <c r="F18" s="8" t="inlineStr">
        <is>
          <t>4.3/5</t>
        </is>
      </c>
      <c r="G18" s="8" t="inlineStr">
        <is>
          <t>Google</t>
        </is>
      </c>
      <c r="H18" s="8" t="n">
        <v>1239</v>
      </c>
      <c r="I18" s="10" t="inlineStr">
        <is>
          <t>Couscous, Tajine de poulet, Pastilla</t>
        </is>
      </c>
      <c r="J18" s="10" t="inlineStr">
        <is>
          <t>🔴 Haute</t>
        </is>
      </c>
    </row>
    <row r="19" ht="28" customHeight="1">
      <c r="A19" s="8" t="n">
        <v>13</v>
      </c>
      <c r="B19" s="9" t="inlineStr">
        <is>
          <t>Lyon</t>
        </is>
      </c>
      <c r="C19" s="10" t="inlineStr">
        <is>
          <t>Rachid Dupont</t>
        </is>
      </c>
      <c r="D19" s="10" t="inlineStr">
        <is>
          <t>134 avenue Thiers</t>
        </is>
      </c>
      <c r="E19" s="10" t="inlineStr">
        <is>
          <t>69006 – 6e arrondissement</t>
        </is>
      </c>
      <c r="F19" s="8" t="inlineStr">
        <is>
          <t>4.7/5</t>
        </is>
      </c>
      <c r="G19" s="8" t="inlineStr">
        <is>
          <t>TheFork</t>
        </is>
      </c>
      <c r="H19" s="8" t="n">
        <v>311</v>
      </c>
      <c r="I19" s="10" t="inlineStr">
        <is>
          <t>Couscous, Fusion Franco-Marocain</t>
        </is>
      </c>
      <c r="J19" s="10" t="inlineStr">
        <is>
          <t>🟠 Moyenne</t>
        </is>
      </c>
    </row>
    <row r="20" ht="22" customHeight="1">
      <c r="A20" s="4" t="inlineStr">
        <is>
          <t xml:space="preserve">  ▶  REIMS</t>
        </is>
      </c>
    </row>
    <row r="21" ht="28" customHeight="1">
      <c r="A21" s="11" t="n">
        <v>14</v>
      </c>
      <c r="B21" s="12" t="inlineStr">
        <is>
          <t>Reims</t>
        </is>
      </c>
      <c r="C21" s="13" t="inlineStr">
        <is>
          <t>Le Riad</t>
        </is>
      </c>
      <c r="D21" s="13" t="inlineStr">
        <is>
          <t>12 rue Tambour</t>
        </is>
      </c>
      <c r="E21" s="13" t="inlineStr">
        <is>
          <t>51100 – Centre-ville</t>
        </is>
      </c>
      <c r="F21" s="11" t="inlineStr">
        <is>
          <t>4.5/5</t>
        </is>
      </c>
      <c r="G21" s="11" t="inlineStr">
        <is>
          <t>TheFork</t>
        </is>
      </c>
      <c r="H21" s="11" t="n">
        <v>2372</v>
      </c>
      <c r="I21" s="13" t="inlineStr">
        <is>
          <t>Couscous, Tajine, Oriental</t>
        </is>
      </c>
      <c r="J21" s="13" t="inlineStr">
        <is>
          <t>🔴 Haute</t>
        </is>
      </c>
    </row>
    <row r="22" ht="28" customHeight="1">
      <c r="A22" s="11" t="n">
        <v>15</v>
      </c>
      <c r="B22" s="12" t="inlineStr">
        <is>
          <t>Reims</t>
        </is>
      </c>
      <c r="C22" s="13" t="inlineStr">
        <is>
          <t>Ô Cœur de l'Orient</t>
        </is>
      </c>
      <c r="D22" s="13" t="inlineStr">
        <is>
          <t>4 rue Magdeleine</t>
        </is>
      </c>
      <c r="E22" s="13" t="inlineStr">
        <is>
          <t>51100 – Centre-ville</t>
        </is>
      </c>
      <c r="F22" s="11" t="inlineStr">
        <is>
          <t>4.7/5</t>
        </is>
      </c>
      <c r="G22" s="11" t="inlineStr">
        <is>
          <t>TheFork</t>
        </is>
      </c>
      <c r="H22" s="11" t="n">
        <v>312</v>
      </c>
      <c r="I22" s="13" t="inlineStr">
        <is>
          <t>Tajine, Couscous, Mezzés, Pastilla</t>
        </is>
      </c>
      <c r="J22" s="13" t="inlineStr">
        <is>
          <t>🟠 Moyenne</t>
        </is>
      </c>
    </row>
  </sheetData>
  <mergeCells count="5">
    <mergeCell ref="A1:J1"/>
    <mergeCell ref="A5:J5"/>
    <mergeCell ref="A2:J2"/>
    <mergeCell ref="A20:J20"/>
    <mergeCell ref="A16:J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</cols>
  <sheetData>
    <row r="1">
      <c r="A1" s="14" t="inlineStr">
        <is>
          <t>Résumé par ville</t>
        </is>
      </c>
    </row>
    <row r="3">
      <c r="A3" s="15" t="inlineStr">
        <is>
          <t>Ville</t>
        </is>
      </c>
      <c r="B3" s="15" t="inlineStr">
        <is>
          <t>Nb de prospects</t>
        </is>
      </c>
      <c r="C3" s="15" t="inlineStr">
        <is>
          <t>Potentiel moyen d'avis</t>
        </is>
      </c>
    </row>
    <row r="4">
      <c r="A4" s="16" t="inlineStr">
        <is>
          <t>Paris</t>
        </is>
      </c>
      <c r="B4" s="16" t="n">
        <v>10</v>
      </c>
      <c r="C4" s="16">
        <f>AVERAGE({3366,1762,1544,1338,1175,1053,741,609,588,459})</f>
        <v/>
      </c>
    </row>
    <row r="5">
      <c r="A5" s="16" t="inlineStr">
        <is>
          <t>Lyon</t>
        </is>
      </c>
      <c r="B5" s="16" t="n">
        <v>3</v>
      </c>
      <c r="C5" s="16">
        <f>AVERAGE({2089,1239,311})</f>
        <v/>
      </c>
    </row>
    <row r="6">
      <c r="A6" s="16" t="inlineStr">
        <is>
          <t>Reims</t>
        </is>
      </c>
      <c r="B6" s="16" t="n">
        <v>2</v>
      </c>
      <c r="C6" s="16">
        <f>AVERAGE({2372,312})</f>
        <v/>
      </c>
    </row>
    <row r="7">
      <c r="A7" s="17" t="inlineStr">
        <is>
          <t>TOTAL</t>
        </is>
      </c>
      <c r="B7" s="17">
        <f>SUM(B4:B6)</f>
        <v/>
      </c>
      <c r="C7" s="1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2026-06-07T12:40:32Z</dcterms:created>
  <dcterms:modified xmlns:dcterms="http://purl.org/dc/terms/" xmlns:xsi="http://www.w3.org/2001/XMLSchema-instance" xsi:type="dcterms:W3CDTF">2026-06-07T12:40:32Z</dcterms:modified>
</cp:coreProperties>
</file>